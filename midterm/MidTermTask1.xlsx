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bookViews>
    <workbookView xWindow="0" yWindow="0" windowWidth="28800" windowHeight="12300" tabRatio="687" activeTab="5"/>
  </bookViews>
  <sheets>
    <sheet name="Dirty Data" sheetId="3" r:id="rId1"/>
    <sheet name="Client_dim" sheetId="5" r:id="rId2"/>
    <sheet name="Dep_dim" sheetId="6" r:id="rId3"/>
    <sheet name="State_dim" sheetId="7" r:id="rId4"/>
    <sheet name="Pay_dim" sheetId="8" r:id="rId5"/>
    <sheet name="Rev_Fact" sheetId="9" r:id="rId6"/>
  </sheets>
  <definedNames>
    <definedName name="_xlcn.WorksheetConnection_midtermTask1_Antap.xlsxclient_dim" hidden="1">client_dim[]</definedName>
    <definedName name="_xlcn.WorksheetConnection_midtermTask1_Antap.xlsxdepartment_dim" hidden="1">department_dim[]</definedName>
    <definedName name="_xlcn.WorksheetConnection_midtermTask1_Antap.xlsxpayment_dim" hidden="1">payment_dim[]</definedName>
    <definedName name="_xlcn.WorksheetConnection_midtermTask1_Antap.xlsxrevenue_fact" hidden="1">revenue_fact[]</definedName>
    <definedName name="_xlcn.WorksheetConnection_midtermTask1_Antap.xlsxstate_dim" hidden="1">state_dim[]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venue_fact" name="revenue_fact" connection="WorksheetConnection_midtermTask1_Antap.xlsx!revenue_fact"/>
          <x15:modelTable id="client_dim" name="client_dim" connection="WorksheetConnection_midtermTask1_Antap.xlsx!client_dim"/>
          <x15:modelTable id="department_dim" name="department_dim" connection="WorksheetConnection_midtermTask1_Antap.xlsx!department_dim"/>
          <x15:modelTable id="state_dim" name="state_dim" connection="WorksheetConnection_midtermTask1_Antap.xlsx!state_dim"/>
          <x15:modelTable id="payment_dim" name="payment_dim" connection="WorksheetConnection_midtermTask1_Antap.xlsx!payment_dim"/>
        </x15:modelTables>
        <x15:modelRelationships>
          <x15:modelRelationship fromTable="revenue_fact" fromColumn="Client_ID" toTable="client_dim" toColumn="Client_ID"/>
          <x15:modelRelationship fromTable="revenue_fact" fromColumn="Dept_ID" toTable="department_dim" toColumn="Dept_ID"/>
          <x15:modelRelationship fromTable="revenue_fact" fromColumn="State_ID" toTable="state_dim" toColumn="State_ID"/>
          <x15:modelRelationship fromTable="revenue_fact" fromColumn="Pay_ID" toTable="payment_dim" toColumn="Pay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9" l="1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J20" i="3"/>
  <c r="J21" i="3"/>
  <c r="J22" i="3"/>
  <c r="J23" i="3"/>
  <c r="J24" i="3"/>
  <c r="J25" i="3"/>
  <c r="J26" i="3"/>
  <c r="J27" i="3"/>
  <c r="J28" i="3"/>
  <c r="J29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" i="3" l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midtermTask1_Antap.xlsx!client_dim" type="102" refreshedVersion="6" minRefreshableVersion="5">
    <extLst>
      <ext xmlns:x15="http://schemas.microsoft.com/office/spreadsheetml/2010/11/main" uri="{DE250136-89BD-433C-8126-D09CA5730AF9}">
        <x15:connection id="client_dim">
          <x15:rangePr sourceName="_xlcn.WorksheetConnection_midtermTask1_Antap.xlsxclient_dim"/>
        </x15:connection>
      </ext>
    </extLst>
  </connection>
  <connection id="3" name="WorksheetConnection_midtermTask1_Antap.xlsx!department_dim" type="102" refreshedVersion="6" minRefreshableVersion="5">
    <extLst>
      <ext xmlns:x15="http://schemas.microsoft.com/office/spreadsheetml/2010/11/main" uri="{DE250136-89BD-433C-8126-D09CA5730AF9}">
        <x15:connection id="department_dim">
          <x15:rangePr sourceName="_xlcn.WorksheetConnection_midtermTask1_Antap.xlsxdepartment_dim"/>
        </x15:connection>
      </ext>
    </extLst>
  </connection>
  <connection id="4" name="WorksheetConnection_midtermTask1_Antap.xlsx!payment_dim" type="102" refreshedVersion="6" minRefreshableVersion="5">
    <extLst>
      <ext xmlns:x15="http://schemas.microsoft.com/office/spreadsheetml/2010/11/main" uri="{DE250136-89BD-433C-8126-D09CA5730AF9}">
        <x15:connection id="payment_dim">
          <x15:rangePr sourceName="_xlcn.WorksheetConnection_midtermTask1_Antap.xlsxpayment_dim"/>
        </x15:connection>
      </ext>
    </extLst>
  </connection>
  <connection id="5" name="WorksheetConnection_midtermTask1_Antap.xlsx!revenue_fact" type="102" refreshedVersion="6" minRefreshableVersion="5">
    <extLst>
      <ext xmlns:x15="http://schemas.microsoft.com/office/spreadsheetml/2010/11/main" uri="{DE250136-89BD-433C-8126-D09CA5730AF9}">
        <x15:connection id="revenue_fact">
          <x15:rangePr sourceName="_xlcn.WorksheetConnection_midtermTask1_Antap.xlsxrevenue_fact"/>
        </x15:connection>
      </ext>
    </extLst>
  </connection>
  <connection id="6" name="WorksheetConnection_midtermTask1_Antap.xlsx!state_dim" type="102" refreshedVersion="6" minRefreshableVersion="5">
    <extLst>
      <ext xmlns:x15="http://schemas.microsoft.com/office/spreadsheetml/2010/11/main" uri="{DE250136-89BD-433C-8126-D09CA5730AF9}">
        <x15:connection id="state_dim">
          <x15:rangePr sourceName="_xlcn.WorksheetConnection_midtermTask1_Antap.xlsxstate_dim"/>
        </x15:connection>
      </ext>
    </extLst>
  </connection>
</connections>
</file>

<file path=xl/sharedStrings.xml><?xml version="1.0" encoding="utf-8"?>
<sst xmlns="http://schemas.openxmlformats.org/spreadsheetml/2006/main" count="475" uniqueCount="181">
  <si>
    <t>Date</t>
  </si>
  <si>
    <t>Revenue</t>
  </si>
  <si>
    <t>Profit</t>
  </si>
  <si>
    <t>Profit Margin</t>
  </si>
  <si>
    <t>Client</t>
  </si>
  <si>
    <t>Department</t>
  </si>
  <si>
    <t>Payment</t>
  </si>
  <si>
    <t>Card</t>
  </si>
  <si>
    <t>PayPal</t>
  </si>
  <si>
    <t>Check</t>
  </si>
  <si>
    <t>Transfer</t>
  </si>
  <si>
    <t xml:space="preserve">AMAZON.COM, INC.  </t>
  </si>
  <si>
    <t xml:space="preserve">TESLA, INC.  </t>
  </si>
  <si>
    <t xml:space="preserve">NETFLIX, INC.  </t>
  </si>
  <si>
    <t xml:space="preserve">THE PROCTER &amp; GAMBLE COMPANY  </t>
  </si>
  <si>
    <t xml:space="preserve">THE GOLDMAN SACHS GROUP, INC.  </t>
  </si>
  <si>
    <t xml:space="preserve">JPMORGAN CHASE &amp; CO.  </t>
  </si>
  <si>
    <t xml:space="preserve">MORGAN STANLEY  </t>
  </si>
  <si>
    <t xml:space="preserve">CITIGROUP INC.  </t>
  </si>
  <si>
    <t xml:space="preserve">BANK OF AMERICA CORPORATION  </t>
  </si>
  <si>
    <t xml:space="preserve">WALMART INC.  </t>
  </si>
  <si>
    <t xml:space="preserve">TARGET CORPORATION  </t>
  </si>
  <si>
    <t xml:space="preserve">COSTCO WHOLESALE CORPORATION  </t>
  </si>
  <si>
    <t xml:space="preserve">MCDONALD'S CORPORATION  </t>
  </si>
  <si>
    <t xml:space="preserve">EXXON MOBIL CORPORATION  </t>
  </si>
  <si>
    <t xml:space="preserve">VERIZON COMMUNICATIONS INC.  </t>
  </si>
  <si>
    <t xml:space="preserve">THE HOME DEPOT, INC.  </t>
  </si>
  <si>
    <t xml:space="preserve">CISCO SYSTEMS, INC.  </t>
  </si>
  <si>
    <t xml:space="preserve">CHEVRON CORPORATION  </t>
  </si>
  <si>
    <t xml:space="preserve">AT&amp;T INC.  </t>
  </si>
  <si>
    <t xml:space="preserve">INTEL CORPORATION  </t>
  </si>
  <si>
    <t xml:space="preserve">GENERAL MOTORS COMPANY  </t>
  </si>
  <si>
    <t xml:space="preserve">MICROSOFT CORPORATION  </t>
  </si>
  <si>
    <t xml:space="preserve">COMCAST CORPORATION  </t>
  </si>
  <si>
    <t xml:space="preserve">DELL TECHNOLOGIES INC.  </t>
  </si>
  <si>
    <t xml:space="preserve">JOHNSON &amp; JOHNSON  </t>
  </si>
  <si>
    <t xml:space="preserve">FEDEX CORPORATION  </t>
  </si>
  <si>
    <t xml:space="preserve">GENERAL ELECTRIC COMPANY  </t>
  </si>
  <si>
    <t xml:space="preserve">LOCKHEED MARTIN CORPORATION  </t>
  </si>
  <si>
    <t>First Name</t>
  </si>
  <si>
    <t>Last Name</t>
  </si>
  <si>
    <t>Bill</t>
  </si>
  <si>
    <t>Smith</t>
  </si>
  <si>
    <t>Ken</t>
  </si>
  <si>
    <t>Singh</t>
  </si>
  <si>
    <t>Harley</t>
  </si>
  <si>
    <t>Fritz</t>
  </si>
  <si>
    <t>Nyla</t>
  </si>
  <si>
    <t>Novak</t>
  </si>
  <si>
    <t>David</t>
  </si>
  <si>
    <t>Rasmussen</t>
  </si>
  <si>
    <t>Ivan</t>
  </si>
  <si>
    <t>Hiney</t>
  </si>
  <si>
    <t>Jonha</t>
  </si>
  <si>
    <t>Ma</t>
  </si>
  <si>
    <t>Jordan</t>
  </si>
  <si>
    <t>Boone</t>
  </si>
  <si>
    <t>Kylee</t>
  </si>
  <si>
    <t>Townsend</t>
  </si>
  <si>
    <t>Nora</t>
  </si>
  <si>
    <t>Rollins</t>
  </si>
  <si>
    <t>Brendan</t>
  </si>
  <si>
    <t>Wallace</t>
  </si>
  <si>
    <t>Conor</t>
  </si>
  <si>
    <t>Wise</t>
  </si>
  <si>
    <t>Steven</t>
  </si>
  <si>
    <t>Michael</t>
  </si>
  <si>
    <t>Lucia</t>
  </si>
  <si>
    <t>Mckay</t>
  </si>
  <si>
    <t>Jose</t>
  </si>
  <si>
    <t>Roach</t>
  </si>
  <si>
    <t>Franklin</t>
  </si>
  <si>
    <t>Wrigt</t>
  </si>
  <si>
    <t>Alia</t>
  </si>
  <si>
    <t>Thornton</t>
  </si>
  <si>
    <t>Denzel</t>
  </si>
  <si>
    <t>Flores</t>
  </si>
  <si>
    <t>Bruno</t>
  </si>
  <si>
    <t>Cordova</t>
  </si>
  <si>
    <t>Jaylynn</t>
  </si>
  <si>
    <t>Napp</t>
  </si>
  <si>
    <t>Bruce</t>
  </si>
  <si>
    <t>Rich</t>
  </si>
  <si>
    <t>Arturo</t>
  </si>
  <si>
    <t>Moore</t>
  </si>
  <si>
    <t>Bryce</t>
  </si>
  <si>
    <t>Carpenter</t>
  </si>
  <si>
    <t>Jaidyn</t>
  </si>
  <si>
    <t>Andersen</t>
  </si>
  <si>
    <t>Mark</t>
  </si>
  <si>
    <t>Walm</t>
  </si>
  <si>
    <t>Harry</t>
  </si>
  <si>
    <t>Lee</t>
  </si>
  <si>
    <t>Josh</t>
  </si>
  <si>
    <t>Johnson</t>
  </si>
  <si>
    <t>Mik</t>
  </si>
  <si>
    <t>Naam</t>
  </si>
  <si>
    <t>State</t>
  </si>
  <si>
    <t>Texas</t>
  </si>
  <si>
    <t>Strategy</t>
  </si>
  <si>
    <t>New York</t>
  </si>
  <si>
    <t>Operations</t>
  </si>
  <si>
    <t>Florida</t>
  </si>
  <si>
    <t>Cloud Tech</t>
  </si>
  <si>
    <t>Big Data</t>
  </si>
  <si>
    <t>California</t>
  </si>
  <si>
    <t>Other</t>
  </si>
  <si>
    <t>Client_ID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</si>
  <si>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</si>
  <si>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</si>
  <si>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</si>
  <si>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</si>
  <si>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</si>
  <si>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</si>
  <si>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</si>
  <si>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</si>
  <si>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</si>
  <si>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</si>
  <si>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</si>
  <si>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</si>
  <si>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</si>
  <si>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</si>
  <si>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</si>
  <si>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</si>
  <si>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</si>
  <si>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</si>
  <si>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</si>
  <si>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</si>
  <si>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</si>
  <si>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</si>
  <si>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</si>
  <si>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</si>
  <si>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</si>
  <si>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</si>
  <si>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</si>
  <si>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</si>
  <si>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Dept_ID</t>
  </si>
  <si>
    <t>D-101</t>
  </si>
  <si>
    <t>S-101</t>
  </si>
  <si>
    <t>D-102</t>
  </si>
  <si>
    <t>D-103</t>
  </si>
  <si>
    <t>D-104</t>
  </si>
  <si>
    <t>State_ID</t>
  </si>
  <si>
    <t>S-102</t>
  </si>
  <si>
    <t>S-103</t>
  </si>
  <si>
    <t>S-104</t>
  </si>
  <si>
    <t>Pay_ID</t>
  </si>
  <si>
    <t>P-101</t>
  </si>
  <si>
    <t>P-102</t>
  </si>
  <si>
    <t>P-103</t>
  </si>
  <si>
    <t>P-104</t>
  </si>
  <si>
    <t>P-105</t>
  </si>
  <si>
    <t>Trans_ID</t>
  </si>
  <si>
    <t>TR-101</t>
  </si>
  <si>
    <t>TR-102</t>
  </si>
  <si>
    <t>TR-103</t>
  </si>
  <si>
    <t>TR-104</t>
  </si>
  <si>
    <t>TR-105</t>
  </si>
  <si>
    <t>TR-106</t>
  </si>
  <si>
    <t>TR-107</t>
  </si>
  <si>
    <t>TR-108</t>
  </si>
  <si>
    <t>TR-109</t>
  </si>
  <si>
    <t>TR-110</t>
  </si>
  <si>
    <t>TR-111</t>
  </si>
  <si>
    <t>TR-112</t>
  </si>
  <si>
    <t>TR-113</t>
  </si>
  <si>
    <t>TR-114</t>
  </si>
  <si>
    <t>TR-115</t>
  </si>
  <si>
    <t>TR-116</t>
  </si>
  <si>
    <t>TR-117</t>
  </si>
  <si>
    <t>TR-118</t>
  </si>
  <si>
    <t>TR-119</t>
  </si>
  <si>
    <t>TR-120</t>
  </si>
  <si>
    <t>TR-121</t>
  </si>
  <si>
    <t>TR-122</t>
  </si>
  <si>
    <t>TR-123</t>
  </si>
  <si>
    <t>TR-124</t>
  </si>
  <si>
    <t>TR-125</t>
  </si>
  <si>
    <t>TR-126</t>
  </si>
  <si>
    <t>TR-127</t>
  </si>
  <si>
    <t>TR-128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</si>
</sst>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[Red]\(&quot;$&quot;#,##0\)"/>
    <numFmt numFmtId="165" formatCode="m/d/yyyy;@"/>
    <numFmt numFmtId="166" formatCode="[$$-409]#,##0.00;[Red][$$-409]#,##0.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Fill="1" applyBorder="1"/>
    <xf numFmtId="0" fontId="2" fillId="2" borderId="0" xfId="0" applyFont="1" applyFill="1" applyAlignment="1">
      <alignment horizontal="center"/>
    </xf>
    <xf numFmtId="9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ill="1"/>
    <xf numFmtId="0" fontId="2" fillId="0" borderId="0" xfId="0" applyFont="1" applyFill="1" applyAlignment="1">
      <alignment horizontal="center"/>
    </xf>
    <xf numFmtId="165" fontId="0" fillId="0" borderId="0" xfId="0" applyNumberFormat="1" applyFill="1"/>
    <xf numFmtId="165" fontId="2" fillId="0" borderId="0" xfId="0" applyNumberFormat="1" applyFont="1" applyFill="1" applyAlignment="1">
      <alignment horizontal="center"/>
    </xf>
    <xf numFmtId="166" fontId="0" fillId="0" borderId="0" xfId="0" applyNumberFormat="1" applyFill="1" applyAlignment="1">
      <alignment horizontal="right"/>
    </xf>
    <xf numFmtId="9" fontId="0" fillId="0" borderId="0" xfId="1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165" fontId="2" fillId="3" borderId="0" xfId="0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27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166" formatCode="[$$-409]#,##0.00;[Red][$$-409]#,##0.00"/>
      <alignment horizontal="right" vertical="bottom" textRotation="0" wrapText="0" indent="0" justifyLastLine="0" shrinkToFit="0" readingOrder="0"/>
    </dxf>
    <dxf>
      <numFmt numFmtId="166" formatCode="[$$-409]#,##0.00;[Red][$$-409]#,##0.00"/>
      <alignment horizontal="right" vertical="bottom" textRotation="0" wrapText="0" indent="0" justifyLastLine="0" shrinkToFit="0" readingOrder="0"/>
    </dxf>
    <dxf>
      <numFmt numFmtId="165" formatCode="m/d/yyyy;@"/>
      <fill>
        <patternFill patternType="none">
          <fgColor indexed="64"/>
          <bgColor indexed="65"/>
        </patternFill>
      </fill>
    </dxf>
    <dxf>
      <numFmt numFmtId="165" formatCode="m/d/yyyy;@"/>
      <fill>
        <patternFill patternType="none">
          <fgColor indexed="64"/>
          <bgColor indexed="65"/>
        </patternFill>
      </fill>
    </dxf>
    <dxf>
      <numFmt numFmtId="165" formatCode="m/d/yyyy;@"/>
      <fill>
        <patternFill patternType="none">
          <fgColor indexed="64"/>
          <bgColor indexed="65"/>
        </patternFill>
      </fill>
    </dxf>
    <dxf>
      <numFmt numFmtId="165" formatCode="m/d/yyyy;@"/>
      <fill>
        <patternFill patternType="none">
          <fgColor indexed="64"/>
          <bgColor indexed="65"/>
        </patternFill>
      </fill>
    </dxf>
    <dxf>
      <numFmt numFmtId="165" formatCode="m/d/yyyy;@"/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client_dim" displayName="client_dim" ref="A1:D29" totalsRowShown="0" headerRowDxfId="4" dataDxfId="5">
  <autoFilter ref="A1:D29"/>
  <tableColumns count="4">
    <tableColumn id="1" name="Client" dataDxfId="8"/>
    <tableColumn id="2" name="Client_ID"/>
    <tableColumn id="3" name="First Name" dataDxfId="7"/>
    <tableColumn id="4" name="Last Name" dataDxfId="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4" name="department_dim" displayName="department_dim" ref="A1:B5" totalsRowShown="0" headerRowDxfId="3" dataDxfId="2">
  <autoFilter ref="A1:B5"/>
  <tableColumns count="2">
    <tableColumn id="1" name="Department" dataDxfId="1"/>
    <tableColumn id="2" name="Dept_ID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state_dim" displayName="state_dim" ref="A1:B5" totalsRowShown="0" headerRowDxfId="9">
  <autoFilter ref="A1:B5"/>
  <tableColumns count="2">
    <tableColumn id="1" name="State"/>
    <tableColumn id="2" name="State_ID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5" name="payment_dim" displayName="payment_dim" ref="A1:B6" totalsRowShown="0">
  <autoFilter ref="A1:B6"/>
  <tableColumns count="2">
    <tableColumn id="1" name="Payment"/>
    <tableColumn id="2" name="Pay_ID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1" name="revenue_fact" displayName="revenue_fact" ref="A1:I29" totalsRowShown="0" headerRowDxfId="10">
  <autoFilter ref="A1:I29"/>
  <tableColumns count="9">
    <tableColumn id="1" name="Trans_ID"/>
    <tableColumn id="2" name="Date" dataDxfId="18"/>
    <tableColumn id="3" name="Client_ID" dataDxfId="17"/>
    <tableColumn id="4" name="Dept_ID" dataDxfId="16"/>
    <tableColumn id="5" name="State_ID" dataDxfId="15"/>
    <tableColumn id="6" name="Pay_ID" dataDxfId="14"/>
    <tableColumn id="7" name="Revenue" dataDxfId="13"/>
    <tableColumn id="8" name="Profit" dataDxfId="12"/>
    <tableColumn id="9" name="Profit Margin" dataDxfId="11" dataCellStyle="Percent">
      <calculatedColumnFormula>IFERROR(H2/G2,0)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zoomScale="115" zoomScaleNormal="115" workbookViewId="0">
      <selection activeCell="D31" sqref="D31"/>
    </sheetView>
  </sheetViews>
  <sheetFormatPr defaultColWidth="11" defaultRowHeight="15.75" x14ac:dyDescent="0.25"/>
  <cols>
    <col min="1" max="1" width="10.375" bestFit="1" customWidth="1"/>
    <col min="2" max="2" width="31.625" customWidth="1"/>
    <col min="3" max="3" width="19.875" customWidth="1"/>
    <col min="4" max="4" width="19.5" customWidth="1"/>
    <col min="5" max="5" width="16.875" bestFit="1" customWidth="1"/>
    <col min="6" max="6" width="16.875" customWidth="1"/>
    <col min="7" max="7" width="8.75" customWidth="1"/>
    <col min="8" max="8" width="8.75" style="6" customWidth="1"/>
    <col min="9" max="9" width="9.375" style="6" customWidth="1"/>
    <col min="10" max="10" width="11.5" bestFit="1" customWidth="1"/>
  </cols>
  <sheetData>
    <row r="1" spans="1:11" x14ac:dyDescent="0.25">
      <c r="A1" s="10" t="s">
        <v>0</v>
      </c>
      <c r="B1" s="8" t="s">
        <v>4</v>
      </c>
      <c r="C1" s="8" t="s">
        <v>39</v>
      </c>
      <c r="D1" s="8" t="s">
        <v>40</v>
      </c>
      <c r="E1" s="8" t="s">
        <v>5</v>
      </c>
      <c r="F1" s="8" t="s">
        <v>97</v>
      </c>
      <c r="G1" s="8" t="s">
        <v>6</v>
      </c>
      <c r="H1" s="8" t="s">
        <v>1</v>
      </c>
      <c r="I1" s="8" t="s">
        <v>2</v>
      </c>
      <c r="J1" s="8" t="s">
        <v>3</v>
      </c>
      <c r="K1" s="1"/>
    </row>
    <row r="2" spans="1:11" x14ac:dyDescent="0.25">
      <c r="A2" s="9">
        <v>45076</v>
      </c>
      <c r="B2" s="7" t="s">
        <v>11</v>
      </c>
      <c r="C2" s="7" t="s">
        <v>41</v>
      </c>
      <c r="D2" s="7" t="s">
        <v>42</v>
      </c>
      <c r="E2" s="7" t="s">
        <v>103</v>
      </c>
      <c r="F2" s="7" t="s">
        <v>98</v>
      </c>
      <c r="G2" s="7" t="s">
        <v>10</v>
      </c>
      <c r="H2" s="11">
        <v>4500</v>
      </c>
      <c r="I2" s="11">
        <v>598</v>
      </c>
      <c r="J2" s="12">
        <f t="shared" ref="J2:J29" si="0">IFERROR(I2/H2,0)</f>
        <v>0.13288888888888889</v>
      </c>
    </row>
    <row r="3" spans="1:11" x14ac:dyDescent="0.25">
      <c r="A3" s="9">
        <v>45076</v>
      </c>
      <c r="B3" s="7" t="s">
        <v>12</v>
      </c>
      <c r="C3" s="7" t="s">
        <v>43</v>
      </c>
      <c r="D3" s="7" t="s">
        <v>44</v>
      </c>
      <c r="E3" s="7" t="s">
        <v>99</v>
      </c>
      <c r="F3" s="7" t="s">
        <v>100</v>
      </c>
      <c r="G3" s="7" t="s">
        <v>8</v>
      </c>
      <c r="H3" s="11">
        <v>3800</v>
      </c>
      <c r="I3" s="11">
        <v>1045</v>
      </c>
      <c r="J3" s="12">
        <f t="shared" si="0"/>
        <v>0.27500000000000002</v>
      </c>
    </row>
    <row r="4" spans="1:11" x14ac:dyDescent="0.25">
      <c r="A4" s="9">
        <v>45076</v>
      </c>
      <c r="B4" s="7" t="s">
        <v>13</v>
      </c>
      <c r="C4" s="7" t="s">
        <v>45</v>
      </c>
      <c r="D4" s="7" t="s">
        <v>46</v>
      </c>
      <c r="E4" s="7" t="s">
        <v>99</v>
      </c>
      <c r="F4" s="7" t="s">
        <v>100</v>
      </c>
      <c r="G4" s="7" t="s">
        <v>106</v>
      </c>
      <c r="H4" s="11">
        <v>3712.5</v>
      </c>
      <c r="I4" s="11">
        <v>1009</v>
      </c>
      <c r="J4" s="12">
        <f t="shared" si="0"/>
        <v>0.2717845117845118</v>
      </c>
    </row>
    <row r="5" spans="1:11" x14ac:dyDescent="0.25">
      <c r="A5" s="9">
        <v>45076</v>
      </c>
      <c r="B5" s="7" t="s">
        <v>14</v>
      </c>
      <c r="C5" s="7" t="s">
        <v>47</v>
      </c>
      <c r="D5" s="7" t="s">
        <v>48</v>
      </c>
      <c r="E5" s="7" t="s">
        <v>101</v>
      </c>
      <c r="F5" s="7" t="s">
        <v>102</v>
      </c>
      <c r="G5" s="7" t="s">
        <v>106</v>
      </c>
      <c r="H5" s="11">
        <v>4994</v>
      </c>
      <c r="I5" s="11">
        <v>779</v>
      </c>
      <c r="J5" s="12">
        <f t="shared" si="0"/>
        <v>0.15598718462154584</v>
      </c>
    </row>
    <row r="6" spans="1:11" x14ac:dyDescent="0.25">
      <c r="A6" s="9">
        <v>45076</v>
      </c>
      <c r="B6" s="7" t="s">
        <v>15</v>
      </c>
      <c r="C6" s="7" t="s">
        <v>49</v>
      </c>
      <c r="D6" s="7" t="s">
        <v>50</v>
      </c>
      <c r="E6" s="7" t="s">
        <v>101</v>
      </c>
      <c r="F6" s="7" t="s">
        <v>102</v>
      </c>
      <c r="G6" s="7" t="s">
        <v>9</v>
      </c>
      <c r="H6" s="11">
        <v>5000</v>
      </c>
      <c r="I6" s="11">
        <v>684</v>
      </c>
      <c r="J6" s="12">
        <f t="shared" si="0"/>
        <v>0.1368</v>
      </c>
    </row>
    <row r="7" spans="1:11" x14ac:dyDescent="0.25">
      <c r="A7" s="9">
        <v>45077</v>
      </c>
      <c r="B7" s="7" t="s">
        <v>16</v>
      </c>
      <c r="C7" s="7" t="s">
        <v>51</v>
      </c>
      <c r="D7" s="7" t="s">
        <v>52</v>
      </c>
      <c r="E7" s="7" t="s">
        <v>103</v>
      </c>
      <c r="F7" s="7" t="s">
        <v>98</v>
      </c>
      <c r="G7" s="7" t="s">
        <v>10</v>
      </c>
      <c r="H7" s="11">
        <v>6100</v>
      </c>
      <c r="I7" s="11">
        <v>544</v>
      </c>
      <c r="J7" s="12">
        <f t="shared" si="0"/>
        <v>8.9180327868852466E-2</v>
      </c>
    </row>
    <row r="8" spans="1:11" x14ac:dyDescent="0.25">
      <c r="A8" s="9">
        <v>45077</v>
      </c>
      <c r="B8" s="7" t="s">
        <v>17</v>
      </c>
      <c r="C8" s="7" t="s">
        <v>53</v>
      </c>
      <c r="D8" s="7" t="s">
        <v>54</v>
      </c>
      <c r="E8" s="7" t="s">
        <v>103</v>
      </c>
      <c r="F8" s="7" t="s">
        <v>98</v>
      </c>
      <c r="G8" s="7" t="s">
        <v>10</v>
      </c>
      <c r="H8" s="11">
        <v>4625</v>
      </c>
      <c r="I8" s="11">
        <v>670</v>
      </c>
      <c r="J8" s="12">
        <f t="shared" si="0"/>
        <v>0.14486486486486486</v>
      </c>
    </row>
    <row r="9" spans="1:11" x14ac:dyDescent="0.25">
      <c r="A9" s="9">
        <v>45077</v>
      </c>
      <c r="B9" s="7" t="s">
        <v>18</v>
      </c>
      <c r="C9" s="7" t="s">
        <v>55</v>
      </c>
      <c r="D9" s="7" t="s">
        <v>56</v>
      </c>
      <c r="E9" s="7" t="s">
        <v>103</v>
      </c>
      <c r="F9" s="7" t="s">
        <v>98</v>
      </c>
      <c r="G9" s="7" t="s">
        <v>10</v>
      </c>
      <c r="H9" s="11">
        <v>3800</v>
      </c>
      <c r="I9" s="11">
        <v>2045</v>
      </c>
      <c r="J9" s="12">
        <f t="shared" si="0"/>
        <v>0.53815789473684206</v>
      </c>
    </row>
    <row r="10" spans="1:11" x14ac:dyDescent="0.25">
      <c r="A10" s="9">
        <v>45077</v>
      </c>
      <c r="B10" s="7" t="s">
        <v>19</v>
      </c>
      <c r="C10" s="7" t="s">
        <v>57</v>
      </c>
      <c r="D10" s="7" t="s">
        <v>58</v>
      </c>
      <c r="E10" s="7" t="s">
        <v>103</v>
      </c>
      <c r="F10" s="7" t="s">
        <v>98</v>
      </c>
      <c r="G10" s="7" t="s">
        <v>7</v>
      </c>
      <c r="H10" s="11">
        <v>3600</v>
      </c>
      <c r="I10" s="11">
        <v>1564</v>
      </c>
      <c r="J10" s="12">
        <f t="shared" si="0"/>
        <v>0.43444444444444447</v>
      </c>
    </row>
    <row r="11" spans="1:11" x14ac:dyDescent="0.25">
      <c r="A11" s="9">
        <v>45077</v>
      </c>
      <c r="B11" s="7" t="s">
        <v>20</v>
      </c>
      <c r="C11" s="7" t="s">
        <v>59</v>
      </c>
      <c r="D11" s="7" t="s">
        <v>60</v>
      </c>
      <c r="E11" s="7" t="s">
        <v>103</v>
      </c>
      <c r="F11" s="7" t="s">
        <v>98</v>
      </c>
      <c r="G11" s="7" t="s">
        <v>9</v>
      </c>
      <c r="H11" s="11">
        <v>5100</v>
      </c>
      <c r="I11" s="11">
        <v>1220</v>
      </c>
      <c r="J11" s="12">
        <f t="shared" si="0"/>
        <v>0.23921568627450981</v>
      </c>
    </row>
    <row r="12" spans="1:11" x14ac:dyDescent="0.25">
      <c r="A12" s="9">
        <v>45077</v>
      </c>
      <c r="B12" s="7" t="s">
        <v>21</v>
      </c>
      <c r="C12" s="7" t="s">
        <v>61</v>
      </c>
      <c r="D12" s="7" t="s">
        <v>62</v>
      </c>
      <c r="E12" s="7" t="s">
        <v>103</v>
      </c>
      <c r="F12" s="7" t="s">
        <v>98</v>
      </c>
      <c r="G12" s="7" t="s">
        <v>9</v>
      </c>
      <c r="H12" s="11">
        <v>4750</v>
      </c>
      <c r="I12" s="11">
        <v>1435</v>
      </c>
      <c r="J12" s="12">
        <f t="shared" si="0"/>
        <v>0.30210526315789471</v>
      </c>
    </row>
    <row r="13" spans="1:11" x14ac:dyDescent="0.25">
      <c r="A13" s="9">
        <v>45077</v>
      </c>
      <c r="B13" s="7" t="s">
        <v>22</v>
      </c>
      <c r="C13" s="7" t="s">
        <v>63</v>
      </c>
      <c r="D13" s="7" t="s">
        <v>64</v>
      </c>
      <c r="E13" s="7" t="s">
        <v>101</v>
      </c>
      <c r="F13" s="7" t="s">
        <v>102</v>
      </c>
      <c r="G13" s="7" t="s">
        <v>10</v>
      </c>
      <c r="H13" s="11">
        <v>6000</v>
      </c>
      <c r="I13" s="11">
        <v>998</v>
      </c>
      <c r="J13" s="12">
        <f t="shared" si="0"/>
        <v>0.16633333333333333</v>
      </c>
    </row>
    <row r="14" spans="1:11" x14ac:dyDescent="0.25">
      <c r="A14" s="9">
        <v>45077</v>
      </c>
      <c r="B14" s="7" t="s">
        <v>23</v>
      </c>
      <c r="C14" s="7" t="s">
        <v>65</v>
      </c>
      <c r="D14" s="7" t="s">
        <v>66</v>
      </c>
      <c r="E14" s="7" t="s">
        <v>104</v>
      </c>
      <c r="F14" s="7" t="s">
        <v>105</v>
      </c>
      <c r="G14" s="7" t="s">
        <v>9</v>
      </c>
      <c r="H14" s="11">
        <v>4500</v>
      </c>
      <c r="I14" s="11">
        <v>780</v>
      </c>
      <c r="J14" s="12">
        <f t="shared" si="0"/>
        <v>0.17333333333333334</v>
      </c>
    </row>
    <row r="15" spans="1:11" x14ac:dyDescent="0.25">
      <c r="A15" s="9">
        <v>45078</v>
      </c>
      <c r="B15" s="7" t="s">
        <v>24</v>
      </c>
      <c r="C15" s="7" t="s">
        <v>67</v>
      </c>
      <c r="D15" s="7" t="s">
        <v>68</v>
      </c>
      <c r="E15" s="7" t="s">
        <v>104</v>
      </c>
      <c r="F15" s="7" t="s">
        <v>105</v>
      </c>
      <c r="G15" s="7" t="s">
        <v>7</v>
      </c>
      <c r="H15" s="11">
        <v>4994</v>
      </c>
      <c r="I15" s="11">
        <v>1044</v>
      </c>
      <c r="J15" s="12">
        <f t="shared" si="0"/>
        <v>0.20905086103323989</v>
      </c>
    </row>
    <row r="16" spans="1:11" x14ac:dyDescent="0.25">
      <c r="A16" s="9">
        <v>45078</v>
      </c>
      <c r="B16" s="7" t="s">
        <v>25</v>
      </c>
      <c r="C16" s="7" t="s">
        <v>69</v>
      </c>
      <c r="D16" s="7" t="s">
        <v>70</v>
      </c>
      <c r="E16" s="7" t="s">
        <v>104</v>
      </c>
      <c r="F16" s="7" t="s">
        <v>105</v>
      </c>
      <c r="G16" s="7" t="s">
        <v>10</v>
      </c>
      <c r="H16" s="11">
        <v>3712.5</v>
      </c>
      <c r="I16" s="11">
        <v>1222</v>
      </c>
      <c r="J16" s="12">
        <f t="shared" si="0"/>
        <v>0.32915824915824915</v>
      </c>
    </row>
    <row r="17" spans="1:10" x14ac:dyDescent="0.25">
      <c r="A17" s="9">
        <v>45078</v>
      </c>
      <c r="B17" s="7" t="s">
        <v>26</v>
      </c>
      <c r="C17" s="7" t="s">
        <v>71</v>
      </c>
      <c r="D17" s="7" t="s">
        <v>72</v>
      </c>
      <c r="E17" s="7" t="s">
        <v>104</v>
      </c>
      <c r="F17" s="7" t="s">
        <v>105</v>
      </c>
      <c r="G17" s="7" t="s">
        <v>10</v>
      </c>
      <c r="H17" s="11">
        <v>4950</v>
      </c>
      <c r="I17" s="11">
        <v>1065</v>
      </c>
      <c r="J17" s="12">
        <f t="shared" si="0"/>
        <v>0.21515151515151515</v>
      </c>
    </row>
    <row r="18" spans="1:10" x14ac:dyDescent="0.25">
      <c r="A18" s="9">
        <v>45078</v>
      </c>
      <c r="B18" s="7" t="s">
        <v>27</v>
      </c>
      <c r="C18" s="7" t="s">
        <v>73</v>
      </c>
      <c r="D18" s="7" t="s">
        <v>74</v>
      </c>
      <c r="E18" s="7" t="s">
        <v>101</v>
      </c>
      <c r="F18" s="7" t="s">
        <v>102</v>
      </c>
      <c r="G18" s="7" t="s">
        <v>10</v>
      </c>
      <c r="H18" s="11">
        <v>4750</v>
      </c>
      <c r="I18" s="11">
        <v>810</v>
      </c>
      <c r="J18" s="12">
        <f t="shared" si="0"/>
        <v>0.17052631578947369</v>
      </c>
    </row>
    <row r="19" spans="1:10" x14ac:dyDescent="0.25">
      <c r="A19" s="9">
        <v>45078</v>
      </c>
      <c r="B19" s="7" t="s">
        <v>28</v>
      </c>
      <c r="C19" s="7" t="s">
        <v>75</v>
      </c>
      <c r="D19" s="7" t="s">
        <v>76</v>
      </c>
      <c r="E19" s="7" t="s">
        <v>101</v>
      </c>
      <c r="F19" s="7" t="s">
        <v>102</v>
      </c>
      <c r="G19" s="7" t="s">
        <v>10</v>
      </c>
      <c r="H19" s="11">
        <v>7320</v>
      </c>
      <c r="I19" s="11">
        <v>933</v>
      </c>
      <c r="J19" s="12">
        <f t="shared" si="0"/>
        <v>0.12745901639344262</v>
      </c>
    </row>
    <row r="20" spans="1:10" x14ac:dyDescent="0.25">
      <c r="A20" s="9">
        <v>45078</v>
      </c>
      <c r="B20" s="7" t="s">
        <v>29</v>
      </c>
      <c r="C20" s="7" t="s">
        <v>77</v>
      </c>
      <c r="D20" s="7" t="s">
        <v>78</v>
      </c>
      <c r="E20" s="7" t="s">
        <v>104</v>
      </c>
      <c r="F20" s="7" t="s">
        <v>105</v>
      </c>
      <c r="G20" s="7" t="s">
        <v>10</v>
      </c>
      <c r="H20" s="11">
        <v>5087.5</v>
      </c>
      <c r="I20" s="11">
        <v>655</v>
      </c>
      <c r="J20" s="12">
        <f t="shared" si="0"/>
        <v>0.12874692874692875</v>
      </c>
    </row>
    <row r="21" spans="1:10" x14ac:dyDescent="0.25">
      <c r="A21" s="9">
        <v>45078</v>
      </c>
      <c r="B21" s="7" t="s">
        <v>30</v>
      </c>
      <c r="C21" s="7" t="s">
        <v>79</v>
      </c>
      <c r="D21" s="7" t="s">
        <v>80</v>
      </c>
      <c r="E21" s="7" t="s">
        <v>104</v>
      </c>
      <c r="F21" s="7" t="s">
        <v>105</v>
      </c>
      <c r="G21" s="7" t="s">
        <v>10</v>
      </c>
      <c r="H21" s="11">
        <v>4500</v>
      </c>
      <c r="I21" s="11">
        <v>722</v>
      </c>
      <c r="J21" s="12">
        <f t="shared" si="0"/>
        <v>0.16044444444444445</v>
      </c>
    </row>
    <row r="22" spans="1:10" x14ac:dyDescent="0.25">
      <c r="A22" s="9">
        <v>45078</v>
      </c>
      <c r="B22" s="7" t="s">
        <v>31</v>
      </c>
      <c r="C22" s="7" t="s">
        <v>81</v>
      </c>
      <c r="D22" s="7" t="s">
        <v>82</v>
      </c>
      <c r="E22" s="7" t="s">
        <v>104</v>
      </c>
      <c r="F22" s="7" t="s">
        <v>105</v>
      </c>
      <c r="G22" s="7" t="s">
        <v>7</v>
      </c>
      <c r="H22" s="11">
        <v>4250</v>
      </c>
      <c r="I22" s="11">
        <v>901</v>
      </c>
      <c r="J22" s="12">
        <f t="shared" si="0"/>
        <v>0.21199999999999999</v>
      </c>
    </row>
    <row r="23" spans="1:10" x14ac:dyDescent="0.25">
      <c r="A23" s="9">
        <v>45079</v>
      </c>
      <c r="B23" s="7" t="s">
        <v>32</v>
      </c>
      <c r="C23" s="7" t="s">
        <v>83</v>
      </c>
      <c r="D23" s="7" t="s">
        <v>84</v>
      </c>
      <c r="E23" s="7" t="s">
        <v>104</v>
      </c>
      <c r="F23" s="7" t="s">
        <v>105</v>
      </c>
      <c r="G23" s="7" t="s">
        <v>8</v>
      </c>
      <c r="H23" s="11">
        <v>5250</v>
      </c>
      <c r="I23" s="11">
        <v>1349</v>
      </c>
      <c r="J23" s="12">
        <f t="shared" si="0"/>
        <v>0.25695238095238093</v>
      </c>
    </row>
    <row r="24" spans="1:10" x14ac:dyDescent="0.25">
      <c r="A24" s="9">
        <v>45079</v>
      </c>
      <c r="B24" s="7" t="s">
        <v>33</v>
      </c>
      <c r="C24" s="7" t="s">
        <v>85</v>
      </c>
      <c r="D24" s="7" t="s">
        <v>86</v>
      </c>
      <c r="E24" s="7" t="s">
        <v>99</v>
      </c>
      <c r="F24" s="7" t="s">
        <v>100</v>
      </c>
      <c r="G24" s="7" t="s">
        <v>8</v>
      </c>
      <c r="H24" s="11">
        <v>6500</v>
      </c>
      <c r="I24" s="11">
        <v>1288</v>
      </c>
      <c r="J24" s="12">
        <f t="shared" si="0"/>
        <v>0.19815384615384615</v>
      </c>
    </row>
    <row r="25" spans="1:10" x14ac:dyDescent="0.25">
      <c r="A25" s="9">
        <v>45079</v>
      </c>
      <c r="B25" s="7" t="s">
        <v>34</v>
      </c>
      <c r="C25" s="7" t="s">
        <v>87</v>
      </c>
      <c r="D25" s="7" t="s">
        <v>88</v>
      </c>
      <c r="E25" s="7" t="s">
        <v>99</v>
      </c>
      <c r="F25" s="7" t="s">
        <v>100</v>
      </c>
      <c r="G25" s="7" t="s">
        <v>8</v>
      </c>
      <c r="H25" s="11">
        <v>7500</v>
      </c>
      <c r="I25" s="11">
        <v>1664</v>
      </c>
      <c r="J25" s="12">
        <f t="shared" si="0"/>
        <v>0.22186666666666666</v>
      </c>
    </row>
    <row r="26" spans="1:10" x14ac:dyDescent="0.25">
      <c r="A26" s="9">
        <v>45079</v>
      </c>
      <c r="B26" s="7" t="s">
        <v>35</v>
      </c>
      <c r="C26" s="7" t="s">
        <v>89</v>
      </c>
      <c r="D26" s="7" t="s">
        <v>90</v>
      </c>
      <c r="E26" s="7" t="s">
        <v>99</v>
      </c>
      <c r="F26" s="7" t="s">
        <v>100</v>
      </c>
      <c r="G26" s="7" t="s">
        <v>10</v>
      </c>
      <c r="H26" s="11">
        <v>5500</v>
      </c>
      <c r="I26" s="11">
        <v>1320</v>
      </c>
      <c r="J26" s="12">
        <f t="shared" si="0"/>
        <v>0.24</v>
      </c>
    </row>
    <row r="27" spans="1:10" x14ac:dyDescent="0.25">
      <c r="A27" s="9">
        <v>45079</v>
      </c>
      <c r="B27" s="7" t="s">
        <v>36</v>
      </c>
      <c r="C27" s="7" t="s">
        <v>91</v>
      </c>
      <c r="D27" s="7" t="s">
        <v>92</v>
      </c>
      <c r="E27" s="7" t="s">
        <v>99</v>
      </c>
      <c r="F27" s="7" t="s">
        <v>100</v>
      </c>
      <c r="G27" s="7" t="s">
        <v>10</v>
      </c>
      <c r="H27" s="11">
        <v>4625</v>
      </c>
      <c r="I27" s="11">
        <v>1001</v>
      </c>
      <c r="J27" s="12">
        <f t="shared" si="0"/>
        <v>0.21643243243243243</v>
      </c>
    </row>
    <row r="28" spans="1:10" x14ac:dyDescent="0.25">
      <c r="A28" s="9">
        <v>45079</v>
      </c>
      <c r="B28" s="7" t="s">
        <v>37</v>
      </c>
      <c r="C28" s="7" t="s">
        <v>93</v>
      </c>
      <c r="D28" s="7" t="s">
        <v>94</v>
      </c>
      <c r="E28" s="7" t="s">
        <v>99</v>
      </c>
      <c r="F28" s="7" t="s">
        <v>100</v>
      </c>
      <c r="G28" s="7" t="s">
        <v>10</v>
      </c>
      <c r="H28" s="11">
        <v>4500</v>
      </c>
      <c r="I28" s="11">
        <v>960</v>
      </c>
      <c r="J28" s="12">
        <f t="shared" si="0"/>
        <v>0.21333333333333335</v>
      </c>
    </row>
    <row r="29" spans="1:10" x14ac:dyDescent="0.25">
      <c r="A29" s="9">
        <v>45079</v>
      </c>
      <c r="B29" s="7" t="s">
        <v>38</v>
      </c>
      <c r="C29" s="7" t="s">
        <v>95</v>
      </c>
      <c r="D29" s="7" t="s">
        <v>96</v>
      </c>
      <c r="E29" s="7" t="s">
        <v>99</v>
      </c>
      <c r="F29" s="7" t="s">
        <v>100</v>
      </c>
      <c r="G29" s="7" t="s">
        <v>7</v>
      </c>
      <c r="H29" s="11">
        <v>5400</v>
      </c>
      <c r="I29" s="11">
        <v>540</v>
      </c>
      <c r="J29" s="12">
        <f t="shared" si="0"/>
        <v>0.1</v>
      </c>
    </row>
    <row r="30" spans="1:10" x14ac:dyDescent="0.25">
      <c r="H30"/>
      <c r="I30"/>
    </row>
    <row r="31" spans="1:10" x14ac:dyDescent="0.25">
      <c r="H31"/>
      <c r="I31"/>
    </row>
    <row r="32" spans="1:10" x14ac:dyDescent="0.25">
      <c r="H32"/>
      <c r="I32"/>
    </row>
    <row r="33" spans="8:8" x14ac:dyDescent="0.25">
      <c r="H33" s="5"/>
    </row>
    <row r="34" spans="8:8" x14ac:dyDescent="0.25">
      <c r="H34" s="5"/>
    </row>
    <row r="35" spans="8:8" x14ac:dyDescent="0.25">
      <c r="H35" s="5"/>
    </row>
    <row r="36" spans="8:8" x14ac:dyDescent="0.25">
      <c r="H36" s="5"/>
    </row>
    <row r="37" spans="8:8" x14ac:dyDescent="0.25">
      <c r="H37" s="5"/>
    </row>
    <row r="38" spans="8:8" x14ac:dyDescent="0.25">
      <c r="H38" s="5"/>
    </row>
    <row r="39" spans="8:8" x14ac:dyDescent="0.25">
      <c r="H39" s="5"/>
    </row>
    <row r="40" spans="8:8" x14ac:dyDescent="0.25">
      <c r="H40" s="5"/>
    </row>
    <row r="41" spans="8:8" x14ac:dyDescent="0.25">
      <c r="H41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zoomScale="115" zoomScaleNormal="115" workbookViewId="0">
      <selection activeCell="D1" sqref="D1"/>
    </sheetView>
  </sheetViews>
  <sheetFormatPr defaultColWidth="11" defaultRowHeight="15.75" x14ac:dyDescent="0.25"/>
  <cols>
    <col min="1" max="1" width="32.875" bestFit="1" customWidth="1"/>
    <col min="3" max="3" width="19.875" customWidth="1"/>
    <col min="4" max="4" width="19.5" customWidth="1"/>
  </cols>
  <sheetData>
    <row r="1" spans="1:6" x14ac:dyDescent="0.25">
      <c r="A1" s="2" t="s">
        <v>4</v>
      </c>
      <c r="B1" s="14" t="s">
        <v>107</v>
      </c>
      <c r="C1" s="2" t="s">
        <v>39</v>
      </c>
      <c r="D1" s="2" t="s">
        <v>40</v>
      </c>
      <c r="E1" s="1"/>
    </row>
    <row r="2" spans="1:6" x14ac:dyDescent="0.25">
      <c r="A2" s="7" t="s">
        <v>11</v>
      </c>
      <c r="B2" t="s">
        <v>108</v>
      </c>
      <c r="C2" s="7" t="s">
        <v>41</v>
      </c>
      <c r="D2" s="7" t="s">
        <v>42</v>
      </c>
      <c r="E2" s="7"/>
      <c r="F2" s="7"/>
    </row>
    <row r="3" spans="1:6" x14ac:dyDescent="0.25">
      <c r="A3" s="7" t="s">
        <v>29</v>
      </c>
      <c r="B3" t="s">
        <v>126</v>
      </c>
      <c r="C3" s="7" t="s">
        <v>77</v>
      </c>
      <c r="D3" s="7" t="s">
        <v>78</v>
      </c>
      <c r="E3" s="7"/>
      <c r="F3" s="7"/>
    </row>
    <row r="4" spans="1:6" x14ac:dyDescent="0.25">
      <c r="A4" s="7" t="s">
        <v>19</v>
      </c>
      <c r="B4" t="s">
        <v>116</v>
      </c>
      <c r="C4" s="7" t="s">
        <v>57</v>
      </c>
      <c r="D4" s="7" t="s">
        <v>58</v>
      </c>
      <c r="E4" s="7"/>
      <c r="F4" s="7"/>
    </row>
    <row r="5" spans="1:6" x14ac:dyDescent="0.25">
      <c r="A5" s="7" t="s">
        <v>28</v>
      </c>
      <c r="B5" t="s">
        <v>125</v>
      </c>
      <c r="C5" s="7" t="s">
        <v>75</v>
      </c>
      <c r="D5" s="7" t="s">
        <v>76</v>
      </c>
      <c r="E5" s="7"/>
      <c r="F5" s="7"/>
    </row>
    <row r="6" spans="1:6" x14ac:dyDescent="0.25">
      <c r="A6" s="7" t="s">
        <v>27</v>
      </c>
      <c r="B6" t="s">
        <v>124</v>
      </c>
      <c r="C6" s="7" t="s">
        <v>73</v>
      </c>
      <c r="D6" s="7" t="s">
        <v>74</v>
      </c>
      <c r="E6" s="7"/>
      <c r="F6" s="7"/>
    </row>
    <row r="7" spans="1:6" x14ac:dyDescent="0.25">
      <c r="A7" s="7" t="s">
        <v>18</v>
      </c>
      <c r="B7" t="s">
        <v>115</v>
      </c>
      <c r="C7" s="7" t="s">
        <v>55</v>
      </c>
      <c r="D7" s="7" t="s">
        <v>56</v>
      </c>
      <c r="E7" s="7"/>
      <c r="F7" s="7"/>
    </row>
    <row r="8" spans="1:6" x14ac:dyDescent="0.25">
      <c r="A8" s="7" t="s">
        <v>33</v>
      </c>
      <c r="B8" t="s">
        <v>130</v>
      </c>
      <c r="C8" s="7" t="s">
        <v>85</v>
      </c>
      <c r="D8" s="7" t="s">
        <v>86</v>
      </c>
      <c r="E8" s="7"/>
      <c r="F8" s="7"/>
    </row>
    <row r="9" spans="1:6" x14ac:dyDescent="0.25">
      <c r="A9" s="7" t="s">
        <v>22</v>
      </c>
      <c r="B9" t="s">
        <v>119</v>
      </c>
      <c r="C9" s="7" t="s">
        <v>63</v>
      </c>
      <c r="D9" s="7" t="s">
        <v>64</v>
      </c>
      <c r="E9" s="7"/>
      <c r="F9" s="7"/>
    </row>
    <row r="10" spans="1:6" x14ac:dyDescent="0.25">
      <c r="A10" s="7" t="s">
        <v>34</v>
      </c>
      <c r="B10" t="s">
        <v>131</v>
      </c>
      <c r="C10" s="7" t="s">
        <v>87</v>
      </c>
      <c r="D10" s="7" t="s">
        <v>88</v>
      </c>
      <c r="E10" s="7"/>
      <c r="F10" s="7"/>
    </row>
    <row r="11" spans="1:6" x14ac:dyDescent="0.25">
      <c r="A11" s="7" t="s">
        <v>24</v>
      </c>
      <c r="B11" t="s">
        <v>121</v>
      </c>
      <c r="C11" s="7" t="s">
        <v>67</v>
      </c>
      <c r="D11" s="7" t="s">
        <v>68</v>
      </c>
      <c r="E11" s="7"/>
      <c r="F11" s="7"/>
    </row>
    <row r="12" spans="1:6" x14ac:dyDescent="0.25">
      <c r="A12" s="7" t="s">
        <v>36</v>
      </c>
      <c r="B12" t="s">
        <v>133</v>
      </c>
      <c r="C12" s="7" t="s">
        <v>91</v>
      </c>
      <c r="D12" s="7" t="s">
        <v>92</v>
      </c>
      <c r="E12" s="7"/>
      <c r="F12" s="7"/>
    </row>
    <row r="13" spans="1:6" x14ac:dyDescent="0.25">
      <c r="A13" s="7" t="s">
        <v>37</v>
      </c>
      <c r="B13" t="s">
        <v>134</v>
      </c>
      <c r="C13" s="7" t="s">
        <v>93</v>
      </c>
      <c r="D13" s="7" t="s">
        <v>94</v>
      </c>
      <c r="E13" s="7"/>
      <c r="F13" s="7"/>
    </row>
    <row r="14" spans="1:6" x14ac:dyDescent="0.25">
      <c r="A14" s="7" t="s">
        <v>31</v>
      </c>
      <c r="B14" t="s">
        <v>128</v>
      </c>
      <c r="C14" s="7" t="s">
        <v>81</v>
      </c>
      <c r="D14" s="7" t="s">
        <v>82</v>
      </c>
      <c r="E14" s="7"/>
      <c r="F14" s="7"/>
    </row>
    <row r="15" spans="1:6" x14ac:dyDescent="0.25">
      <c r="A15" s="7" t="s">
        <v>30</v>
      </c>
      <c r="B15" t="s">
        <v>127</v>
      </c>
      <c r="C15" s="7" t="s">
        <v>79</v>
      </c>
      <c r="D15" s="7" t="s">
        <v>80</v>
      </c>
      <c r="E15" s="7"/>
      <c r="F15" s="7"/>
    </row>
    <row r="16" spans="1:6" x14ac:dyDescent="0.25">
      <c r="A16" s="7" t="s">
        <v>35</v>
      </c>
      <c r="B16" t="s">
        <v>132</v>
      </c>
      <c r="C16" s="7" t="s">
        <v>89</v>
      </c>
      <c r="D16" s="7" t="s">
        <v>90</v>
      </c>
      <c r="E16" s="7"/>
      <c r="F16" s="7"/>
    </row>
    <row r="17" spans="1:6" x14ac:dyDescent="0.25">
      <c r="A17" s="7" t="s">
        <v>16</v>
      </c>
      <c r="B17" t="s">
        <v>113</v>
      </c>
      <c r="C17" s="7" t="s">
        <v>51</v>
      </c>
      <c r="D17" s="7" t="s">
        <v>52</v>
      </c>
      <c r="E17" s="7"/>
      <c r="F17" s="7"/>
    </row>
    <row r="18" spans="1:6" x14ac:dyDescent="0.25">
      <c r="A18" s="7" t="s">
        <v>38</v>
      </c>
      <c r="B18" t="s">
        <v>135</v>
      </c>
      <c r="C18" s="7" t="s">
        <v>95</v>
      </c>
      <c r="D18" s="7" t="s">
        <v>96</v>
      </c>
      <c r="E18" s="7"/>
      <c r="F18" s="7"/>
    </row>
    <row r="19" spans="1:6" x14ac:dyDescent="0.25">
      <c r="A19" s="7" t="s">
        <v>23</v>
      </c>
      <c r="B19" t="s">
        <v>120</v>
      </c>
      <c r="C19" s="7" t="s">
        <v>65</v>
      </c>
      <c r="D19" s="7" t="s">
        <v>66</v>
      </c>
      <c r="E19" s="7"/>
      <c r="F19" s="7"/>
    </row>
    <row r="20" spans="1:6" x14ac:dyDescent="0.25">
      <c r="A20" s="7" t="s">
        <v>32</v>
      </c>
      <c r="B20" t="s">
        <v>129</v>
      </c>
      <c r="C20" s="7" t="s">
        <v>83</v>
      </c>
      <c r="D20" s="7" t="s">
        <v>84</v>
      </c>
      <c r="E20" s="7"/>
      <c r="F20" s="7"/>
    </row>
    <row r="21" spans="1:6" x14ac:dyDescent="0.25">
      <c r="A21" s="7" t="s">
        <v>17</v>
      </c>
      <c r="B21" t="s">
        <v>114</v>
      </c>
      <c r="C21" s="7" t="s">
        <v>53</v>
      </c>
      <c r="D21" s="7" t="s">
        <v>54</v>
      </c>
      <c r="E21" s="7"/>
      <c r="F21" s="7"/>
    </row>
    <row r="22" spans="1:6" x14ac:dyDescent="0.25">
      <c r="A22" s="7" t="s">
        <v>13</v>
      </c>
      <c r="B22" t="s">
        <v>110</v>
      </c>
      <c r="C22" s="7" t="s">
        <v>45</v>
      </c>
      <c r="D22" s="7" t="s">
        <v>46</v>
      </c>
      <c r="E22" s="7"/>
      <c r="F22" s="7"/>
    </row>
    <row r="23" spans="1:6" x14ac:dyDescent="0.25">
      <c r="A23" s="7" t="s">
        <v>21</v>
      </c>
      <c r="B23" t="s">
        <v>118</v>
      </c>
      <c r="C23" s="7" t="s">
        <v>61</v>
      </c>
      <c r="D23" s="7" t="s">
        <v>62</v>
      </c>
      <c r="E23" s="7"/>
      <c r="F23" s="7"/>
    </row>
    <row r="24" spans="1:6" x14ac:dyDescent="0.25">
      <c r="A24" s="7" t="s">
        <v>12</v>
      </c>
      <c r="B24" t="s">
        <v>109</v>
      </c>
      <c r="C24" s="7" t="s">
        <v>43</v>
      </c>
      <c r="D24" s="7" t="s">
        <v>44</v>
      </c>
      <c r="E24" s="7"/>
      <c r="F24" s="7"/>
    </row>
    <row r="25" spans="1:6" x14ac:dyDescent="0.25">
      <c r="A25" s="7" t="s">
        <v>15</v>
      </c>
      <c r="B25" t="s">
        <v>112</v>
      </c>
      <c r="C25" s="7" t="s">
        <v>49</v>
      </c>
      <c r="D25" s="7" t="s">
        <v>50</v>
      </c>
      <c r="E25" s="7"/>
      <c r="F25" s="7"/>
    </row>
    <row r="26" spans="1:6" x14ac:dyDescent="0.25">
      <c r="A26" s="7" t="s">
        <v>26</v>
      </c>
      <c r="B26" t="s">
        <v>123</v>
      </c>
      <c r="C26" s="7" t="s">
        <v>71</v>
      </c>
      <c r="D26" s="7" t="s">
        <v>72</v>
      </c>
      <c r="E26" s="7"/>
      <c r="F26" s="7"/>
    </row>
    <row r="27" spans="1:6" x14ac:dyDescent="0.25">
      <c r="A27" s="7" t="s">
        <v>14</v>
      </c>
      <c r="B27" t="s">
        <v>111</v>
      </c>
      <c r="C27" s="7" t="s">
        <v>47</v>
      </c>
      <c r="D27" s="7" t="s">
        <v>48</v>
      </c>
      <c r="E27" s="7"/>
      <c r="F27" s="7"/>
    </row>
    <row r="28" spans="1:6" x14ac:dyDescent="0.25">
      <c r="A28" s="7" t="s">
        <v>25</v>
      </c>
      <c r="B28" t="s">
        <v>122</v>
      </c>
      <c r="C28" s="7" t="s">
        <v>69</v>
      </c>
      <c r="D28" s="7" t="s">
        <v>70</v>
      </c>
      <c r="E28" s="7"/>
      <c r="F28" s="7"/>
    </row>
    <row r="29" spans="1:6" x14ac:dyDescent="0.25">
      <c r="A29" s="7" t="s">
        <v>20</v>
      </c>
      <c r="B29" t="s">
        <v>117</v>
      </c>
      <c r="C29" s="7" t="s">
        <v>59</v>
      </c>
      <c r="D29" s="7" t="s">
        <v>60</v>
      </c>
      <c r="E29" s="7"/>
      <c r="F29" s="7"/>
    </row>
    <row r="30" spans="1:6" x14ac:dyDescent="0.25">
      <c r="C30" s="7"/>
      <c r="D30" s="7"/>
      <c r="E30" s="7"/>
      <c r="F30" s="7"/>
    </row>
    <row r="31" spans="1:6" x14ac:dyDescent="0.25">
      <c r="C31" s="7"/>
      <c r="D31" s="7"/>
      <c r="E31" s="7"/>
      <c r="F31" s="7"/>
    </row>
    <row r="32" spans="1:6" x14ac:dyDescent="0.25">
      <c r="C32" s="7"/>
      <c r="D32" s="7"/>
      <c r="E32" s="7"/>
      <c r="F32" s="7"/>
    </row>
    <row r="33" spans="3:6" x14ac:dyDescent="0.25">
      <c r="C33" s="7"/>
      <c r="D33" s="7"/>
      <c r="E33" s="7"/>
      <c r="F33" s="7"/>
    </row>
  </sheetData>
  <sortState ref="B2:E29">
    <sortCondition ref="B2:B29"/>
    <sortCondition ref="D2:D29"/>
    <sortCondition ref="C2:C29"/>
  </sortState>
  <conditionalFormatting sqref="A1:A29">
    <cfRule type="duplicateValues" dxfId="26" priority="1"/>
  </conditionalFormatting>
  <conditionalFormatting sqref="C1:D29">
    <cfRule type="duplicateValues" dxfId="25" priority="38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zoomScale="115" zoomScaleNormal="115" workbookViewId="0">
      <selection activeCell="H10" sqref="H10"/>
    </sheetView>
  </sheetViews>
  <sheetFormatPr defaultColWidth="11" defaultRowHeight="15.75" x14ac:dyDescent="0.25"/>
  <cols>
    <col min="1" max="1" width="12.25" customWidth="1"/>
  </cols>
  <sheetData>
    <row r="1" spans="1:3" x14ac:dyDescent="0.25">
      <c r="A1" s="2" t="s">
        <v>5</v>
      </c>
      <c r="B1" s="2" t="s">
        <v>136</v>
      </c>
      <c r="C1" s="1"/>
    </row>
    <row r="2" spans="1:3" x14ac:dyDescent="0.25">
      <c r="A2" s="7" t="s">
        <v>104</v>
      </c>
      <c r="B2" s="7" t="s">
        <v>137</v>
      </c>
    </row>
    <row r="3" spans="1:3" x14ac:dyDescent="0.25">
      <c r="A3" s="7" t="s">
        <v>103</v>
      </c>
      <c r="B3" s="7" t="s">
        <v>139</v>
      </c>
    </row>
    <row r="4" spans="1:3" x14ac:dyDescent="0.25">
      <c r="A4" s="7" t="s">
        <v>101</v>
      </c>
      <c r="B4" s="7" t="s">
        <v>140</v>
      </c>
    </row>
    <row r="5" spans="1:3" x14ac:dyDescent="0.25">
      <c r="A5" s="7" t="s">
        <v>99</v>
      </c>
      <c r="B5" s="7" t="s">
        <v>141</v>
      </c>
    </row>
    <row r="6" spans="1:3" x14ac:dyDescent="0.25">
      <c r="B6" s="7"/>
    </row>
    <row r="7" spans="1:3" x14ac:dyDescent="0.25">
      <c r="B7" s="7"/>
    </row>
    <row r="8" spans="1:3" x14ac:dyDescent="0.25">
      <c r="B8" s="7"/>
    </row>
    <row r="9" spans="1:3" x14ac:dyDescent="0.25">
      <c r="B9" s="7"/>
    </row>
    <row r="10" spans="1:3" x14ac:dyDescent="0.25">
      <c r="B10" s="7"/>
    </row>
    <row r="11" spans="1:3" x14ac:dyDescent="0.25">
      <c r="B11" s="7"/>
    </row>
    <row r="12" spans="1:3" x14ac:dyDescent="0.25">
      <c r="B12" s="7"/>
    </row>
    <row r="13" spans="1:3" x14ac:dyDescent="0.25">
      <c r="B13" s="7"/>
    </row>
    <row r="14" spans="1:3" x14ac:dyDescent="0.25">
      <c r="B14" s="7"/>
    </row>
    <row r="15" spans="1:3" x14ac:dyDescent="0.25">
      <c r="B15" s="7"/>
    </row>
    <row r="16" spans="1:3" x14ac:dyDescent="0.25">
      <c r="B16" s="7"/>
    </row>
    <row r="17" spans="2:2" x14ac:dyDescent="0.25">
      <c r="B17" s="7"/>
    </row>
    <row r="18" spans="2:2" x14ac:dyDescent="0.25">
      <c r="B18" s="7"/>
    </row>
    <row r="19" spans="2:2" x14ac:dyDescent="0.25">
      <c r="B19" s="7"/>
    </row>
    <row r="20" spans="2:2" x14ac:dyDescent="0.25">
      <c r="B20" s="7"/>
    </row>
    <row r="21" spans="2:2" x14ac:dyDescent="0.25">
      <c r="B21" s="7"/>
    </row>
    <row r="22" spans="2:2" x14ac:dyDescent="0.25">
      <c r="B22" s="7"/>
    </row>
    <row r="23" spans="2:2" x14ac:dyDescent="0.25">
      <c r="B23" s="7"/>
    </row>
    <row r="24" spans="2:2" x14ac:dyDescent="0.25">
      <c r="B24" s="7"/>
    </row>
    <row r="25" spans="2:2" x14ac:dyDescent="0.25">
      <c r="B25" s="7"/>
    </row>
    <row r="26" spans="2:2" x14ac:dyDescent="0.25">
      <c r="B26" s="7"/>
    </row>
    <row r="27" spans="2:2" x14ac:dyDescent="0.25">
      <c r="B27" s="7"/>
    </row>
    <row r="28" spans="2:2" x14ac:dyDescent="0.25">
      <c r="B28" s="7"/>
    </row>
    <row r="29" spans="2:2" x14ac:dyDescent="0.25">
      <c r="B29" s="7"/>
    </row>
  </sheetData>
  <conditionalFormatting sqref="A1:A5">
    <cfRule type="duplicateValues" dxfId="24" priority="2"/>
  </conditionalFormatting>
  <conditionalFormatting sqref="A2:A5">
    <cfRule type="duplicateValues" dxfId="23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zoomScale="115" zoomScaleNormal="115" workbookViewId="0">
      <selection activeCell="B3" sqref="B3"/>
    </sheetView>
  </sheetViews>
  <sheetFormatPr defaultColWidth="11" defaultRowHeight="15.75" x14ac:dyDescent="0.25"/>
  <cols>
    <col min="1" max="1" width="8.75" bestFit="1" customWidth="1"/>
    <col min="2" max="2" width="16.875" bestFit="1" customWidth="1"/>
  </cols>
  <sheetData>
    <row r="1" spans="1:3" x14ac:dyDescent="0.25">
      <c r="A1" s="2" t="s">
        <v>97</v>
      </c>
      <c r="B1" s="2" t="s">
        <v>142</v>
      </c>
      <c r="C1" s="1"/>
    </row>
    <row r="2" spans="1:3" x14ac:dyDescent="0.25">
      <c r="A2" t="s">
        <v>105</v>
      </c>
      <c r="B2" t="s">
        <v>145</v>
      </c>
    </row>
    <row r="3" spans="1:3" x14ac:dyDescent="0.25">
      <c r="A3" t="s">
        <v>102</v>
      </c>
      <c r="B3" t="s">
        <v>144</v>
      </c>
    </row>
    <row r="4" spans="1:3" x14ac:dyDescent="0.25">
      <c r="A4" t="s">
        <v>100</v>
      </c>
      <c r="B4" t="s">
        <v>143</v>
      </c>
    </row>
    <row r="5" spans="1:3" x14ac:dyDescent="0.25">
      <c r="A5" t="s">
        <v>98</v>
      </c>
      <c r="B5" t="s">
        <v>138</v>
      </c>
    </row>
  </sheetData>
  <sortState ref="A2:B5">
    <sortCondition ref="A5"/>
  </sortState>
  <conditionalFormatting sqref="A1:A5">
    <cfRule type="duplicateValues" dxfId="22" priority="2"/>
  </conditionalFormatting>
  <conditionalFormatting sqref="A2:A5">
    <cfRule type="duplicateValues" dxfId="21" priority="1"/>
  </conditionalFormatting>
  <conditionalFormatting sqref="B1:B29">
    <cfRule type="duplicateValues" dxfId="20" priority="39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="115" zoomScaleNormal="115" workbookViewId="0">
      <selection activeCell="B1" sqref="B1"/>
    </sheetView>
  </sheetViews>
  <sheetFormatPr defaultColWidth="11" defaultRowHeight="15.75" x14ac:dyDescent="0.25"/>
  <cols>
    <col min="1" max="1" width="9.75" customWidth="1"/>
  </cols>
  <sheetData>
    <row r="1" spans="1:3" x14ac:dyDescent="0.25">
      <c r="A1" s="13" t="s">
        <v>6</v>
      </c>
      <c r="B1" s="15" t="s">
        <v>146</v>
      </c>
      <c r="C1" s="1"/>
    </row>
    <row r="2" spans="1:3" x14ac:dyDescent="0.25">
      <c r="A2" t="s">
        <v>7</v>
      </c>
      <c r="B2" t="s">
        <v>151</v>
      </c>
    </row>
    <row r="3" spans="1:3" x14ac:dyDescent="0.25">
      <c r="A3" t="s">
        <v>9</v>
      </c>
      <c r="B3" t="s">
        <v>150</v>
      </c>
    </row>
    <row r="4" spans="1:3" x14ac:dyDescent="0.25">
      <c r="A4" t="s">
        <v>106</v>
      </c>
      <c r="B4" t="s">
        <v>149</v>
      </c>
    </row>
    <row r="5" spans="1:3" x14ac:dyDescent="0.25">
      <c r="A5" t="s">
        <v>8</v>
      </c>
      <c r="B5" t="s">
        <v>148</v>
      </c>
    </row>
    <row r="6" spans="1:3" x14ac:dyDescent="0.25">
      <c r="A6" t="s">
        <v>10</v>
      </c>
      <c r="B6" t="s">
        <v>147</v>
      </c>
    </row>
  </sheetData>
  <conditionalFormatting sqref="A1:A6">
    <cfRule type="duplicateValues" dxfId="19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zoomScale="115" zoomScaleNormal="115" workbookViewId="0">
      <selection activeCell="I1" sqref="I1"/>
    </sheetView>
  </sheetViews>
  <sheetFormatPr defaultColWidth="11" defaultRowHeight="15.75" x14ac:dyDescent="0.25"/>
  <cols>
    <col min="2" max="2" width="10.375" bestFit="1" customWidth="1"/>
    <col min="3" max="6" width="10.375" customWidth="1"/>
    <col min="7" max="7" width="9.625" style="6" customWidth="1"/>
    <col min="8" max="8" width="9.375" style="6" customWidth="1"/>
    <col min="9" max="9" width="13.25" customWidth="1"/>
  </cols>
  <sheetData>
    <row r="1" spans="1:10" x14ac:dyDescent="0.25">
      <c r="A1" s="13" t="s">
        <v>152</v>
      </c>
      <c r="B1" s="16" t="s">
        <v>0</v>
      </c>
      <c r="C1" s="16" t="s">
        <v>107</v>
      </c>
      <c r="D1" s="16" t="s">
        <v>136</v>
      </c>
      <c r="E1" s="16" t="s">
        <v>142</v>
      </c>
      <c r="F1" s="16" t="s">
        <v>146</v>
      </c>
      <c r="G1" s="13" t="s">
        <v>1</v>
      </c>
      <c r="H1" s="13" t="s">
        <v>2</v>
      </c>
      <c r="I1" s="13" t="s">
        <v>3</v>
      </c>
      <c r="J1" s="1"/>
    </row>
    <row r="2" spans="1:10" x14ac:dyDescent="0.25">
      <c r="A2" t="s">
        <v>153</v>
      </c>
      <c r="B2" s="9">
        <v>45076</v>
      </c>
      <c r="C2" s="9" t="s">
        <v>108</v>
      </c>
      <c r="D2" s="9" t="s">
        <v>139</v>
      </c>
      <c r="E2" s="9" t="s">
        <v>138</v>
      </c>
      <c r="F2" s="9" t="s">
        <v>147</v>
      </c>
      <c r="G2" s="4">
        <v>4500</v>
      </c>
      <c r="H2" s="4">
        <v>598</v>
      </c>
      <c r="I2" s="3">
        <f t="shared" ref="I2:I29" si="0">IFERROR(H2/G2,0)</f>
        <v>0.13288888888888889</v>
      </c>
    </row>
    <row r="3" spans="1:10" x14ac:dyDescent="0.25">
      <c r="A3" t="s">
        <v>154</v>
      </c>
      <c r="B3" s="9">
        <v>45076</v>
      </c>
      <c r="C3" s="9" t="s">
        <v>109</v>
      </c>
      <c r="D3" s="9" t="s">
        <v>141</v>
      </c>
      <c r="E3" s="9" t="s">
        <v>143</v>
      </c>
      <c r="F3" s="9" t="s">
        <v>148</v>
      </c>
      <c r="G3" s="4">
        <v>3800</v>
      </c>
      <c r="H3" s="4">
        <v>1045</v>
      </c>
      <c r="I3" s="3">
        <f t="shared" si="0"/>
        <v>0.27500000000000002</v>
      </c>
    </row>
    <row r="4" spans="1:10" x14ac:dyDescent="0.25">
      <c r="A4" t="s">
        <v>155</v>
      </c>
      <c r="B4" s="9">
        <v>45076</v>
      </c>
      <c r="C4" s="9" t="s">
        <v>110</v>
      </c>
      <c r="D4" s="9" t="s">
        <v>141</v>
      </c>
      <c r="E4" s="9" t="s">
        <v>143</v>
      </c>
      <c r="F4" s="9" t="s">
        <v>149</v>
      </c>
      <c r="G4" s="4">
        <v>3712.5</v>
      </c>
      <c r="H4" s="4">
        <v>1009</v>
      </c>
      <c r="I4" s="3">
        <f t="shared" si="0"/>
        <v>0.2717845117845118</v>
      </c>
    </row>
    <row r="5" spans="1:10" x14ac:dyDescent="0.25">
      <c r="A5" t="s">
        <v>156</v>
      </c>
      <c r="B5" s="9">
        <v>45076</v>
      </c>
      <c r="C5" s="9" t="s">
        <v>111</v>
      </c>
      <c r="D5" s="9" t="s">
        <v>140</v>
      </c>
      <c r="E5" s="9" t="s">
        <v>144</v>
      </c>
      <c r="F5" s="9" t="s">
        <v>149</v>
      </c>
      <c r="G5" s="4">
        <v>4994</v>
      </c>
      <c r="H5" s="4">
        <v>779</v>
      </c>
      <c r="I5" s="3">
        <f t="shared" si="0"/>
        <v>0.15598718462154584</v>
      </c>
    </row>
    <row r="6" spans="1:10" x14ac:dyDescent="0.25">
      <c r="A6" t="s">
        <v>157</v>
      </c>
      <c r="B6" s="9">
        <v>45076</v>
      </c>
      <c r="C6" s="9" t="s">
        <v>112</v>
      </c>
      <c r="D6" s="9" t="s">
        <v>140</v>
      </c>
      <c r="E6" s="9" t="s">
        <v>144</v>
      </c>
      <c r="F6" s="9" t="s">
        <v>150</v>
      </c>
      <c r="G6" s="4">
        <v>5000</v>
      </c>
      <c r="H6" s="4">
        <v>684</v>
      </c>
      <c r="I6" s="3">
        <f t="shared" si="0"/>
        <v>0.1368</v>
      </c>
    </row>
    <row r="7" spans="1:10" x14ac:dyDescent="0.25">
      <c r="A7" t="s">
        <v>158</v>
      </c>
      <c r="B7" s="9">
        <v>45077</v>
      </c>
      <c r="C7" s="9" t="s">
        <v>113</v>
      </c>
      <c r="D7" s="9" t="s">
        <v>139</v>
      </c>
      <c r="E7" s="9" t="s">
        <v>138</v>
      </c>
      <c r="F7" s="9" t="s">
        <v>147</v>
      </c>
      <c r="G7" s="4">
        <v>6100</v>
      </c>
      <c r="H7" s="4">
        <v>544</v>
      </c>
      <c r="I7" s="3">
        <f t="shared" si="0"/>
        <v>8.9180327868852466E-2</v>
      </c>
    </row>
    <row r="8" spans="1:10" x14ac:dyDescent="0.25">
      <c r="A8" t="s">
        <v>159</v>
      </c>
      <c r="B8" s="9">
        <v>45077</v>
      </c>
      <c r="C8" s="9" t="s">
        <v>114</v>
      </c>
      <c r="D8" s="9" t="s">
        <v>139</v>
      </c>
      <c r="E8" s="9" t="s">
        <v>138</v>
      </c>
      <c r="F8" s="9" t="s">
        <v>147</v>
      </c>
      <c r="G8" s="4">
        <v>4625</v>
      </c>
      <c r="H8" s="4">
        <v>670</v>
      </c>
      <c r="I8" s="3">
        <f t="shared" si="0"/>
        <v>0.14486486486486486</v>
      </c>
    </row>
    <row r="9" spans="1:10" x14ac:dyDescent="0.25">
      <c r="A9" t="s">
        <v>160</v>
      </c>
      <c r="B9" s="9">
        <v>45077</v>
      </c>
      <c r="C9" s="9" t="s">
        <v>115</v>
      </c>
      <c r="D9" s="9" t="s">
        <v>139</v>
      </c>
      <c r="E9" s="9" t="s">
        <v>138</v>
      </c>
      <c r="F9" s="9" t="s">
        <v>147</v>
      </c>
      <c r="G9" s="4">
        <v>3800</v>
      </c>
      <c r="H9" s="4">
        <v>2045</v>
      </c>
      <c r="I9" s="3">
        <f t="shared" si="0"/>
        <v>0.53815789473684206</v>
      </c>
    </row>
    <row r="10" spans="1:10" x14ac:dyDescent="0.25">
      <c r="A10" t="s">
        <v>161</v>
      </c>
      <c r="B10" s="9">
        <v>45077</v>
      </c>
      <c r="C10" s="9" t="s">
        <v>116</v>
      </c>
      <c r="D10" s="9" t="s">
        <v>139</v>
      </c>
      <c r="E10" s="9" t="s">
        <v>138</v>
      </c>
      <c r="F10" s="9" t="s">
        <v>151</v>
      </c>
      <c r="G10" s="4">
        <v>3600</v>
      </c>
      <c r="H10" s="4">
        <v>1564</v>
      </c>
      <c r="I10" s="3">
        <f t="shared" si="0"/>
        <v>0.43444444444444447</v>
      </c>
    </row>
    <row r="11" spans="1:10" x14ac:dyDescent="0.25">
      <c r="A11" t="s">
        <v>162</v>
      </c>
      <c r="B11" s="9">
        <v>45077</v>
      </c>
      <c r="C11" s="9" t="s">
        <v>117</v>
      </c>
      <c r="D11" s="9" t="s">
        <v>139</v>
      </c>
      <c r="E11" s="9" t="s">
        <v>138</v>
      </c>
      <c r="F11" s="9" t="s">
        <v>150</v>
      </c>
      <c r="G11" s="4">
        <v>5100</v>
      </c>
      <c r="H11" s="4">
        <v>1220</v>
      </c>
      <c r="I11" s="3">
        <f t="shared" si="0"/>
        <v>0.23921568627450981</v>
      </c>
    </row>
    <row r="12" spans="1:10" x14ac:dyDescent="0.25">
      <c r="A12" t="s">
        <v>163</v>
      </c>
      <c r="B12" s="9">
        <v>45077</v>
      </c>
      <c r="C12" s="9" t="s">
        <v>118</v>
      </c>
      <c r="D12" s="9" t="s">
        <v>139</v>
      </c>
      <c r="E12" s="9" t="s">
        <v>138</v>
      </c>
      <c r="F12" s="9" t="s">
        <v>150</v>
      </c>
      <c r="G12" s="4">
        <v>4750</v>
      </c>
      <c r="H12" s="4">
        <v>1435</v>
      </c>
      <c r="I12" s="3">
        <f t="shared" si="0"/>
        <v>0.30210526315789471</v>
      </c>
    </row>
    <row r="13" spans="1:10" x14ac:dyDescent="0.25">
      <c r="A13" t="s">
        <v>164</v>
      </c>
      <c r="B13" s="9">
        <v>45077</v>
      </c>
      <c r="C13" s="9" t="s">
        <v>119</v>
      </c>
      <c r="D13" s="9" t="s">
        <v>140</v>
      </c>
      <c r="E13" s="9" t="s">
        <v>144</v>
      </c>
      <c r="F13" s="9" t="s">
        <v>147</v>
      </c>
      <c r="G13" s="4">
        <v>6000</v>
      </c>
      <c r="H13" s="4">
        <v>998</v>
      </c>
      <c r="I13" s="3">
        <f t="shared" si="0"/>
        <v>0.16633333333333333</v>
      </c>
    </row>
    <row r="14" spans="1:10" x14ac:dyDescent="0.25">
      <c r="A14" t="s">
        <v>165</v>
      </c>
      <c r="B14" s="9">
        <v>45077</v>
      </c>
      <c r="C14" s="9" t="s">
        <v>120</v>
      </c>
      <c r="D14" s="9" t="s">
        <v>137</v>
      </c>
      <c r="E14" s="9" t="s">
        <v>145</v>
      </c>
      <c r="F14" s="9" t="s">
        <v>150</v>
      </c>
      <c r="G14" s="4">
        <v>4500</v>
      </c>
      <c r="H14" s="4">
        <v>780</v>
      </c>
      <c r="I14" s="3">
        <f t="shared" si="0"/>
        <v>0.17333333333333334</v>
      </c>
    </row>
    <row r="15" spans="1:10" x14ac:dyDescent="0.25">
      <c r="A15" t="s">
        <v>166</v>
      </c>
      <c r="B15" s="9">
        <v>45078</v>
      </c>
      <c r="C15" s="9" t="s">
        <v>121</v>
      </c>
      <c r="D15" s="9" t="s">
        <v>137</v>
      </c>
      <c r="E15" s="9" t="s">
        <v>145</v>
      </c>
      <c r="F15" s="9" t="s">
        <v>151</v>
      </c>
      <c r="G15" s="4">
        <v>4994</v>
      </c>
      <c r="H15" s="4">
        <v>1044</v>
      </c>
      <c r="I15" s="3">
        <f t="shared" si="0"/>
        <v>0.20905086103323989</v>
      </c>
    </row>
    <row r="16" spans="1:10" x14ac:dyDescent="0.25">
      <c r="A16" t="s">
        <v>167</v>
      </c>
      <c r="B16" s="9">
        <v>45078</v>
      </c>
      <c r="C16" s="9" t="s">
        <v>122</v>
      </c>
      <c r="D16" s="9" t="s">
        <v>137</v>
      </c>
      <c r="E16" s="9" t="s">
        <v>145</v>
      </c>
      <c r="F16" s="9" t="s">
        <v>147</v>
      </c>
      <c r="G16" s="4">
        <v>3712.5</v>
      </c>
      <c r="H16" s="4">
        <v>1222</v>
      </c>
      <c r="I16" s="3">
        <f t="shared" si="0"/>
        <v>0.32915824915824915</v>
      </c>
    </row>
    <row r="17" spans="1:9" x14ac:dyDescent="0.25">
      <c r="A17" t="s">
        <v>168</v>
      </c>
      <c r="B17" s="9">
        <v>45078</v>
      </c>
      <c r="C17" s="9" t="s">
        <v>123</v>
      </c>
      <c r="D17" s="9" t="s">
        <v>137</v>
      </c>
      <c r="E17" s="9" t="s">
        <v>145</v>
      </c>
      <c r="F17" s="9" t="s">
        <v>147</v>
      </c>
      <c r="G17" s="4">
        <v>4950</v>
      </c>
      <c r="H17" s="4">
        <v>1065</v>
      </c>
      <c r="I17" s="3">
        <f t="shared" si="0"/>
        <v>0.21515151515151515</v>
      </c>
    </row>
    <row r="18" spans="1:9" x14ac:dyDescent="0.25">
      <c r="A18" t="s">
        <v>169</v>
      </c>
      <c r="B18" s="9">
        <v>45078</v>
      </c>
      <c r="C18" s="9" t="s">
        <v>124</v>
      </c>
      <c r="D18" s="9" t="s">
        <v>140</v>
      </c>
      <c r="E18" s="9" t="s">
        <v>144</v>
      </c>
      <c r="F18" s="9" t="s">
        <v>147</v>
      </c>
      <c r="G18" s="4">
        <v>4750</v>
      </c>
      <c r="H18" s="4">
        <v>810</v>
      </c>
      <c r="I18" s="3">
        <f t="shared" si="0"/>
        <v>0.17052631578947369</v>
      </c>
    </row>
    <row r="19" spans="1:9" x14ac:dyDescent="0.25">
      <c r="A19" t="s">
        <v>170</v>
      </c>
      <c r="B19" s="9">
        <v>45078</v>
      </c>
      <c r="C19" s="9" t="s">
        <v>125</v>
      </c>
      <c r="D19" s="9" t="s">
        <v>140</v>
      </c>
      <c r="E19" s="9" t="s">
        <v>144</v>
      </c>
      <c r="F19" s="9" t="s">
        <v>147</v>
      </c>
      <c r="G19" s="4">
        <v>7320</v>
      </c>
      <c r="H19" s="4">
        <v>933</v>
      </c>
      <c r="I19" s="3">
        <f t="shared" si="0"/>
        <v>0.12745901639344262</v>
      </c>
    </row>
    <row r="20" spans="1:9" x14ac:dyDescent="0.25">
      <c r="A20" t="s">
        <v>171</v>
      </c>
      <c r="B20" s="9">
        <v>45078</v>
      </c>
      <c r="C20" s="9" t="s">
        <v>126</v>
      </c>
      <c r="D20" s="9" t="s">
        <v>137</v>
      </c>
      <c r="E20" s="9" t="s">
        <v>145</v>
      </c>
      <c r="F20" s="9" t="s">
        <v>147</v>
      </c>
      <c r="G20" s="4">
        <v>5087.5</v>
      </c>
      <c r="H20" s="4">
        <v>655</v>
      </c>
      <c r="I20" s="3">
        <f t="shared" si="0"/>
        <v>0.12874692874692875</v>
      </c>
    </row>
    <row r="21" spans="1:9" x14ac:dyDescent="0.25">
      <c r="A21" t="s">
        <v>172</v>
      </c>
      <c r="B21" s="9">
        <v>45078</v>
      </c>
      <c r="C21" s="9" t="s">
        <v>127</v>
      </c>
      <c r="D21" s="9" t="s">
        <v>137</v>
      </c>
      <c r="E21" s="9" t="s">
        <v>145</v>
      </c>
      <c r="F21" s="9" t="s">
        <v>147</v>
      </c>
      <c r="G21" s="4">
        <v>4500</v>
      </c>
      <c r="H21" s="4">
        <v>722</v>
      </c>
      <c r="I21" s="3">
        <f t="shared" si="0"/>
        <v>0.16044444444444445</v>
      </c>
    </row>
    <row r="22" spans="1:9" x14ac:dyDescent="0.25">
      <c r="A22" t="s">
        <v>173</v>
      </c>
      <c r="B22" s="9">
        <v>45078</v>
      </c>
      <c r="C22" s="9" t="s">
        <v>128</v>
      </c>
      <c r="D22" s="9" t="s">
        <v>137</v>
      </c>
      <c r="E22" s="9" t="s">
        <v>145</v>
      </c>
      <c r="F22" s="9" t="s">
        <v>151</v>
      </c>
      <c r="G22" s="4">
        <v>4250</v>
      </c>
      <c r="H22" s="4">
        <v>901</v>
      </c>
      <c r="I22" s="3">
        <f t="shared" si="0"/>
        <v>0.21199999999999999</v>
      </c>
    </row>
    <row r="23" spans="1:9" x14ac:dyDescent="0.25">
      <c r="A23" t="s">
        <v>174</v>
      </c>
      <c r="B23" s="9">
        <v>45079</v>
      </c>
      <c r="C23" s="9" t="s">
        <v>129</v>
      </c>
      <c r="D23" s="9" t="s">
        <v>137</v>
      </c>
      <c r="E23" s="9" t="s">
        <v>145</v>
      </c>
      <c r="F23" s="9" t="s">
        <v>148</v>
      </c>
      <c r="G23" s="4">
        <v>5250</v>
      </c>
      <c r="H23" s="4">
        <v>1349</v>
      </c>
      <c r="I23" s="3">
        <f t="shared" si="0"/>
        <v>0.25695238095238093</v>
      </c>
    </row>
    <row r="24" spans="1:9" x14ac:dyDescent="0.25">
      <c r="A24" t="s">
        <v>175</v>
      </c>
      <c r="B24" s="9">
        <v>45079</v>
      </c>
      <c r="C24" s="9" t="s">
        <v>130</v>
      </c>
      <c r="D24" s="9" t="s">
        <v>141</v>
      </c>
      <c r="E24" s="9" t="s">
        <v>143</v>
      </c>
      <c r="F24" s="9" t="s">
        <v>148</v>
      </c>
      <c r="G24" s="4">
        <v>6500</v>
      </c>
      <c r="H24" s="4">
        <v>1288</v>
      </c>
      <c r="I24" s="3">
        <f t="shared" si="0"/>
        <v>0.19815384615384615</v>
      </c>
    </row>
    <row r="25" spans="1:9" x14ac:dyDescent="0.25">
      <c r="A25" t="s">
        <v>176</v>
      </c>
      <c r="B25" s="9">
        <v>45079</v>
      </c>
      <c r="C25" s="9" t="s">
        <v>131</v>
      </c>
      <c r="D25" s="9" t="s">
        <v>141</v>
      </c>
      <c r="E25" s="9" t="s">
        <v>143</v>
      </c>
      <c r="F25" s="9" t="s">
        <v>148</v>
      </c>
      <c r="G25" s="4">
        <v>7500</v>
      </c>
      <c r="H25" s="4">
        <v>1664</v>
      </c>
      <c r="I25" s="3">
        <f t="shared" si="0"/>
        <v>0.22186666666666666</v>
      </c>
    </row>
    <row r="26" spans="1:9" x14ac:dyDescent="0.25">
      <c r="A26" t="s">
        <v>177</v>
      </c>
      <c r="B26" s="9">
        <v>45079</v>
      </c>
      <c r="C26" s="9" t="s">
        <v>132</v>
      </c>
      <c r="D26" s="9" t="s">
        <v>141</v>
      </c>
      <c r="E26" s="9" t="s">
        <v>143</v>
      </c>
      <c r="F26" s="9" t="s">
        <v>147</v>
      </c>
      <c r="G26" s="4">
        <v>5500</v>
      </c>
      <c r="H26" s="4">
        <v>1320</v>
      </c>
      <c r="I26" s="3">
        <f t="shared" si="0"/>
        <v>0.24</v>
      </c>
    </row>
    <row r="27" spans="1:9" x14ac:dyDescent="0.25">
      <c r="A27" t="s">
        <v>178</v>
      </c>
      <c r="B27" s="9">
        <v>45079</v>
      </c>
      <c r="C27" s="9" t="s">
        <v>133</v>
      </c>
      <c r="D27" s="9" t="s">
        <v>141</v>
      </c>
      <c r="E27" s="9" t="s">
        <v>143</v>
      </c>
      <c r="F27" s="9" t="s">
        <v>147</v>
      </c>
      <c r="G27" s="4">
        <v>4625</v>
      </c>
      <c r="H27" s="4">
        <v>1001</v>
      </c>
      <c r="I27" s="3">
        <f t="shared" si="0"/>
        <v>0.21643243243243243</v>
      </c>
    </row>
    <row r="28" spans="1:9" x14ac:dyDescent="0.25">
      <c r="A28" t="s">
        <v>179</v>
      </c>
      <c r="B28" s="9">
        <v>45079</v>
      </c>
      <c r="C28" s="9" t="s">
        <v>134</v>
      </c>
      <c r="D28" s="9" t="s">
        <v>141</v>
      </c>
      <c r="E28" s="9" t="s">
        <v>143</v>
      </c>
      <c r="F28" s="9" t="s">
        <v>147</v>
      </c>
      <c r="G28" s="4">
        <v>4500</v>
      </c>
      <c r="H28" s="4">
        <v>960</v>
      </c>
      <c r="I28" s="3">
        <f t="shared" si="0"/>
        <v>0.21333333333333335</v>
      </c>
    </row>
    <row r="29" spans="1:9" x14ac:dyDescent="0.25">
      <c r="A29" t="s">
        <v>180</v>
      </c>
      <c r="B29" s="9">
        <v>45079</v>
      </c>
      <c r="C29" s="9" t="s">
        <v>135</v>
      </c>
      <c r="D29" s="9" t="s">
        <v>141</v>
      </c>
      <c r="E29" s="9" t="s">
        <v>143</v>
      </c>
      <c r="F29" s="9" t="s">
        <v>151</v>
      </c>
      <c r="G29" s="4">
        <v>5400</v>
      </c>
      <c r="H29" s="4">
        <v>540</v>
      </c>
      <c r="I29" s="3">
        <f t="shared" si="0"/>
        <v>0.1</v>
      </c>
    </row>
    <row r="30" spans="1:9" x14ac:dyDescent="0.25">
      <c r="G30"/>
      <c r="H30"/>
    </row>
    <row r="31" spans="1:9" x14ac:dyDescent="0.25">
      <c r="G31"/>
      <c r="H31"/>
    </row>
    <row r="32" spans="1:9" x14ac:dyDescent="0.25">
      <c r="G32"/>
      <c r="H32"/>
    </row>
    <row r="33" spans="7:7" x14ac:dyDescent="0.25">
      <c r="G33" s="5"/>
    </row>
    <row r="34" spans="7:7" x14ac:dyDescent="0.25">
      <c r="G34" s="5"/>
    </row>
    <row r="35" spans="7:7" x14ac:dyDescent="0.25">
      <c r="G35" s="5"/>
    </row>
    <row r="36" spans="7:7" x14ac:dyDescent="0.25">
      <c r="G36" s="5"/>
    </row>
    <row r="37" spans="7:7" x14ac:dyDescent="0.25">
      <c r="G37" s="5"/>
    </row>
    <row r="38" spans="7:7" x14ac:dyDescent="0.25">
      <c r="G38" s="5"/>
    </row>
    <row r="39" spans="7:7" x14ac:dyDescent="0.25">
      <c r="G39" s="5"/>
    </row>
    <row r="40" spans="7:7" x14ac:dyDescent="0.25">
      <c r="G40" s="5"/>
    </row>
    <row r="41" spans="7:7" x14ac:dyDescent="0.25">
      <c r="G41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Dirty Data</vt:lpstr>
      <vt:lpstr>Client_dim</vt:lpstr>
      <vt:lpstr>Dep_dim</vt:lpstr>
      <vt:lpstr>State_dim</vt:lpstr>
      <vt:lpstr>Pay_dim</vt:lpstr>
      <vt:lpstr>Rev_Fact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COMLAB</cp:lastModifiedBy>
  <dcterms:created xsi:type="dcterms:W3CDTF">2023-05-29T07:26:35Z</dcterms:created>
  <dcterms:modified xsi:type="dcterms:W3CDTF">2026-02-14T02:13:27Z</dcterms:modified>
</cp:coreProperties>
</file>